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h-my.sharepoint.com/personal/rgomez22_cougarnet_uh_edu/Documents/CULLEN/2026/EDS 6333/Week 3/"/>
    </mc:Choice>
  </mc:AlternateContent>
  <xr:revisionPtr revIDLastSave="0" documentId="8_{BBB4F7AD-7DC2-4B9C-90AF-5B6378E74EA5}" xr6:coauthVersionLast="47" xr6:coauthVersionMax="47" xr10:uidLastSave="{00000000-0000-0000-0000-000000000000}"/>
  <bookViews>
    <workbookView xWindow="21240" yWindow="5385" windowWidth="18510" windowHeight="23445" xr2:uid="{66100432-239B-4754-9A7E-AF4684146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1" l="1"/>
  <c r="I28" i="1"/>
  <c r="G22" i="1"/>
  <c r="G25" i="1"/>
  <c r="G28" i="1"/>
  <c r="K15" i="1"/>
  <c r="K6" i="1"/>
  <c r="K7" i="1"/>
  <c r="K8" i="1"/>
  <c r="K9" i="1"/>
  <c r="K10" i="1"/>
  <c r="K11" i="1"/>
  <c r="K12" i="1"/>
  <c r="K13" i="1"/>
  <c r="K14" i="1"/>
  <c r="K5" i="1"/>
  <c r="I25" i="1"/>
  <c r="J15" i="1"/>
  <c r="J6" i="1"/>
  <c r="J7" i="1"/>
  <c r="J8" i="1"/>
  <c r="J9" i="1"/>
  <c r="J10" i="1"/>
  <c r="J11" i="1"/>
  <c r="J12" i="1"/>
  <c r="J13" i="1"/>
  <c r="J14" i="1"/>
  <c r="J5" i="1"/>
  <c r="F6" i="1"/>
  <c r="F7" i="1"/>
  <c r="F8" i="1"/>
  <c r="F9" i="1"/>
  <c r="F10" i="1"/>
  <c r="F11" i="1"/>
  <c r="F12" i="1"/>
  <c r="F13" i="1"/>
  <c r="F14" i="1"/>
  <c r="F5" i="1"/>
  <c r="E6" i="1"/>
  <c r="E7" i="1"/>
  <c r="E8" i="1"/>
  <c r="E9" i="1"/>
  <c r="E10" i="1"/>
  <c r="E11" i="1"/>
  <c r="E12" i="1"/>
  <c r="E13" i="1"/>
  <c r="E14" i="1"/>
  <c r="E5" i="1"/>
  <c r="E16" i="1" s="1"/>
  <c r="E17" i="1" l="1"/>
  <c r="G9" i="1" s="1"/>
  <c r="F15" i="1"/>
  <c r="G8" i="1"/>
  <c r="G10" i="1"/>
  <c r="G11" i="1"/>
  <c r="G12" i="1"/>
  <c r="G5" i="1"/>
  <c r="G13" i="1"/>
  <c r="G6" i="1"/>
  <c r="G14" i="1"/>
  <c r="F17" i="1"/>
  <c r="H13" i="1" s="1"/>
  <c r="E15" i="1"/>
  <c r="G7" i="1" l="1"/>
  <c r="I13" i="1"/>
  <c r="H8" i="1"/>
  <c r="I8" i="1" s="1"/>
  <c r="H12" i="1"/>
  <c r="I12" i="1" s="1"/>
  <c r="H5" i="1"/>
  <c r="H6" i="1"/>
  <c r="H7" i="1"/>
  <c r="I7" i="1" s="1"/>
  <c r="H10" i="1"/>
  <c r="H14" i="1"/>
  <c r="I14" i="1" s="1"/>
  <c r="H9" i="1"/>
  <c r="H11" i="1"/>
  <c r="I11" i="1" s="1"/>
  <c r="I6" i="1"/>
  <c r="G15" i="1"/>
  <c r="I5" i="1"/>
  <c r="I10" i="1"/>
  <c r="I9" i="1"/>
  <c r="I15" i="1" l="1"/>
  <c r="I22" i="1" s="1"/>
  <c r="H15" i="1"/>
</calcChain>
</file>

<file path=xl/sharedStrings.xml><?xml version="1.0" encoding="utf-8"?>
<sst xmlns="http://schemas.openxmlformats.org/spreadsheetml/2006/main" count="35" uniqueCount="24">
  <si>
    <t>TABLE 3.6</t>
  </si>
  <si>
    <t>Sample Data for the San Francisco Electronic Store</t>
  </si>
  <si>
    <t>Week</t>
  </si>
  <si>
    <t>Number of Commercials x</t>
  </si>
  <si>
    <t>Sales Volume ($100s) y</t>
  </si>
  <si>
    <t>xᵢ</t>
  </si>
  <si>
    <t>yᵢ</t>
  </si>
  <si>
    <t xml:space="preserve">xᵢ - x̄ </t>
  </si>
  <si>
    <t>Totals</t>
  </si>
  <si>
    <t xml:space="preserve"> </t>
  </si>
  <si>
    <t>yᵢ - ȳ</t>
  </si>
  <si>
    <t>( xᵢ - x̄ ) ( yᵢ - ȳ )</t>
  </si>
  <si>
    <t>Covariance</t>
  </si>
  <si>
    <t>sₓᵧ  =</t>
  </si>
  <si>
    <t>n</t>
  </si>
  <si>
    <t>Sample Mean</t>
  </si>
  <si>
    <t>10 - 1</t>
  </si>
  <si>
    <t>=</t>
  </si>
  <si>
    <t>Correlation Coefficient</t>
  </si>
  <si>
    <t>rₓᵧ =</t>
  </si>
  <si>
    <t>( xᵢ - x̄ ) ( xᵢ - x̄ )</t>
  </si>
  <si>
    <t>sₓₓ  =</t>
  </si>
  <si>
    <t>sᵧᵧ  =</t>
  </si>
  <si>
    <t>( yᵢ - ȳ ) ( yᵢ - ȳ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</si>
</sst>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4" fillId="4" borderId="0" xfId="0" applyFont="1" applyFill="1" applyAlignment="1">
      <alignment horizontal="center" wrapText="1"/>
    </xf>
    <xf numFmtId="0" fontId="3" fillId="5" borderId="0" xfId="0" applyFont="1" applyFill="1" applyAlignment="1">
      <alignment horizontal="center" vertical="center"/>
    </xf>
    <xf numFmtId="16" fontId="0" fillId="0" borderId="0" xfId="0" quotePrefix="1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Alignment="1">
      <alignment horizontal="center"/>
    </xf>
    <xf numFmtId="0" fontId="0" fillId="7" borderId="0" xfId="0" applyFill="1"/>
    <xf numFmtId="0" fontId="2" fillId="8" borderId="2" xfId="0" applyFont="1" applyFill="1" applyBorder="1" applyAlignment="1">
      <alignment horizontal="center"/>
    </xf>
    <xf numFmtId="0" fontId="0" fillId="8" borderId="0" xfId="0" applyFill="1"/>
    <xf numFmtId="0" fontId="2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0CBE753-4622-4E9A-BE92-8E51A8492DCC}"/>
  </tableStyles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18</xdr:row>
      <xdr:rowOff>0</xdr:rowOff>
    </xdr:from>
    <xdr:to>
      <xdr:col>8</xdr:col>
      <xdr:colOff>314624</xdr:colOff>
      <xdr:row>20</xdr:row>
      <xdr:rowOff>152474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658769-F50A-559D-E74B-C1B699CCC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91125" y="3571875"/>
          <a:ext cx="2143424" cy="533474"/>
        </a:xfrm>
        <a:prstGeom prst="rect">
          <a:avLst/>
        </a:prstGeom>
      </xdr:spPr>
    </xdr:pic>
    <xdr:clientData/>
  </xdr:twoCellAnchor>
  <xdr:twoCellAnchor editAs="oneCell">
    <xdr:from>
      <xdr:col>5</xdr:col>
      <xdr:colOff>19051</xdr:colOff>
      <xdr:row>29</xdr:row>
      <xdr:rowOff>180975</xdr:rowOff>
    </xdr:from>
    <xdr:to>
      <xdr:col>8</xdr:col>
      <xdr:colOff>266701</xdr:colOff>
      <xdr:row>34</xdr:row>
      <xdr:rowOff>94274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5D14AC-1E53-3C21-DA39-70C2DCE9E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57826" y="6038850"/>
          <a:ext cx="2076450" cy="8657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5E48A-2EBB-407C-9584-C861B2BCB721}">
  <dimension ref="A3:L36"/>
  <sheetViews>
    <sheetView tabSelected="1" workbookViewId="0">
      <selection activeCell="J2" sqref="J2"/>
    </sheetView>
  </sheetViews>
  <sheetFormatPr defaultRowHeight="15" x14ac:dyDescent="0.25"/>
  <cols>
    <col min="2" max="2" width="24.85546875" bestFit="1" customWidth="1"/>
    <col min="3" max="3" width="25.5703125" customWidth="1"/>
    <col min="4" max="4" width="12.85546875" bestFit="1" customWidth="1"/>
    <col min="9" max="9" width="14.42578125" customWidth="1"/>
    <col min="10" max="11" width="13.85546875" bestFit="1" customWidth="1"/>
  </cols>
  <sheetData>
    <row r="3" spans="1:12" ht="41.25" customHeight="1" x14ac:dyDescent="0.35">
      <c r="A3" s="7" t="s">
        <v>0</v>
      </c>
      <c r="B3" s="6" t="s">
        <v>1</v>
      </c>
      <c r="C3" s="6"/>
    </row>
    <row r="4" spans="1:12" x14ac:dyDescent="0.25">
      <c r="A4" s="1" t="s">
        <v>2</v>
      </c>
      <c r="B4" s="1" t="s">
        <v>3</v>
      </c>
      <c r="C4" s="1" t="s">
        <v>4</v>
      </c>
      <c r="E4" s="1" t="s">
        <v>5</v>
      </c>
      <c r="F4" s="1" t="s">
        <v>6</v>
      </c>
      <c r="G4" s="1" t="s">
        <v>7</v>
      </c>
      <c r="H4" s="1" t="s">
        <v>10</v>
      </c>
      <c r="I4" s="1" t="s">
        <v>11</v>
      </c>
      <c r="J4" s="1" t="s">
        <v>20</v>
      </c>
      <c r="K4" s="1" t="s">
        <v>23</v>
      </c>
      <c r="L4" t="s">
        <v>9</v>
      </c>
    </row>
    <row r="5" spans="1:12" x14ac:dyDescent="0.25">
      <c r="A5" s="2">
        <v>1</v>
      </c>
      <c r="B5" s="2">
        <v>2</v>
      </c>
      <c r="C5" s="2">
        <v>50</v>
      </c>
      <c r="E5" s="3">
        <f>B5</f>
        <v>2</v>
      </c>
      <c r="F5" s="3">
        <f>C5</f>
        <v>50</v>
      </c>
      <c r="G5" s="3">
        <f>E5-$E$17</f>
        <v>-1</v>
      </c>
      <c r="H5" s="3">
        <f>F5-$F$17</f>
        <v>-1</v>
      </c>
      <c r="I5" s="3">
        <f>G5*H5</f>
        <v>1</v>
      </c>
      <c r="J5" s="3">
        <f>G5*G5</f>
        <v>1</v>
      </c>
      <c r="K5" s="3">
        <f>H5*H5</f>
        <v>1</v>
      </c>
    </row>
    <row r="6" spans="1:12" x14ac:dyDescent="0.25">
      <c r="A6" s="2">
        <v>2</v>
      </c>
      <c r="B6" s="2">
        <v>5</v>
      </c>
      <c r="C6" s="2">
        <v>57</v>
      </c>
      <c r="E6" s="3">
        <f t="shared" ref="E6:E14" si="0">B6</f>
        <v>5</v>
      </c>
      <c r="F6" s="3">
        <f t="shared" ref="F6:F14" si="1">C6</f>
        <v>57</v>
      </c>
      <c r="G6" s="3">
        <f t="shared" ref="G6:G14" si="2">E6-$E$17</f>
        <v>2</v>
      </c>
      <c r="H6" s="3">
        <f t="shared" ref="H6:H14" si="3">F6-$F$17</f>
        <v>6</v>
      </c>
      <c r="I6" s="3">
        <f t="shared" ref="I6:I14" si="4">G6*H6</f>
        <v>12</v>
      </c>
      <c r="J6" s="3">
        <f t="shared" ref="J6:J14" si="5">G6*G6</f>
        <v>4</v>
      </c>
      <c r="K6" s="3">
        <f t="shared" ref="K6:K14" si="6">H6*H6</f>
        <v>36</v>
      </c>
      <c r="L6" t="s">
        <v>9</v>
      </c>
    </row>
    <row r="7" spans="1:12" x14ac:dyDescent="0.25">
      <c r="A7" s="2">
        <v>3</v>
      </c>
      <c r="B7" s="2">
        <v>1</v>
      </c>
      <c r="C7" s="2">
        <v>41</v>
      </c>
      <c r="E7" s="3">
        <f t="shared" si="0"/>
        <v>1</v>
      </c>
      <c r="F7" s="3">
        <f t="shared" si="1"/>
        <v>41</v>
      </c>
      <c r="G7" s="3">
        <f t="shared" si="2"/>
        <v>-2</v>
      </c>
      <c r="H7" s="3">
        <f t="shared" si="3"/>
        <v>-10</v>
      </c>
      <c r="I7" s="3">
        <f t="shared" si="4"/>
        <v>20</v>
      </c>
      <c r="J7" s="3">
        <f t="shared" si="5"/>
        <v>4</v>
      </c>
      <c r="K7" s="3">
        <f t="shared" si="6"/>
        <v>100</v>
      </c>
    </row>
    <row r="8" spans="1:12" x14ac:dyDescent="0.25">
      <c r="A8" s="2">
        <v>4</v>
      </c>
      <c r="B8" s="2">
        <v>3</v>
      </c>
      <c r="C8" s="2">
        <v>54</v>
      </c>
      <c r="E8" s="3">
        <f t="shared" si="0"/>
        <v>3</v>
      </c>
      <c r="F8" s="3">
        <f t="shared" si="1"/>
        <v>54</v>
      </c>
      <c r="G8" s="3">
        <f t="shared" si="2"/>
        <v>0</v>
      </c>
      <c r="H8" s="3">
        <f t="shared" si="3"/>
        <v>3</v>
      </c>
      <c r="I8" s="3">
        <f t="shared" si="4"/>
        <v>0</v>
      </c>
      <c r="J8" s="3">
        <f t="shared" si="5"/>
        <v>0</v>
      </c>
      <c r="K8" s="3">
        <f t="shared" si="6"/>
        <v>9</v>
      </c>
    </row>
    <row r="9" spans="1:12" x14ac:dyDescent="0.25">
      <c r="A9" s="2">
        <v>5</v>
      </c>
      <c r="B9" s="2">
        <v>4</v>
      </c>
      <c r="C9" s="2">
        <v>54</v>
      </c>
      <c r="E9" s="3">
        <f t="shared" si="0"/>
        <v>4</v>
      </c>
      <c r="F9" s="3">
        <f t="shared" si="1"/>
        <v>54</v>
      </c>
      <c r="G9" s="3">
        <f t="shared" si="2"/>
        <v>1</v>
      </c>
      <c r="H9" s="3">
        <f t="shared" si="3"/>
        <v>3</v>
      </c>
      <c r="I9" s="3">
        <f t="shared" si="4"/>
        <v>3</v>
      </c>
      <c r="J9" s="3">
        <f t="shared" si="5"/>
        <v>1</v>
      </c>
      <c r="K9" s="3">
        <f t="shared" si="6"/>
        <v>9</v>
      </c>
    </row>
    <row r="10" spans="1:12" x14ac:dyDescent="0.25">
      <c r="A10" s="2">
        <v>6</v>
      </c>
      <c r="B10" s="2">
        <v>1</v>
      </c>
      <c r="C10" s="2">
        <v>38</v>
      </c>
      <c r="E10" s="3">
        <f t="shared" si="0"/>
        <v>1</v>
      </c>
      <c r="F10" s="3">
        <f t="shared" si="1"/>
        <v>38</v>
      </c>
      <c r="G10" s="3">
        <f t="shared" si="2"/>
        <v>-2</v>
      </c>
      <c r="H10" s="3">
        <f t="shared" si="3"/>
        <v>-13</v>
      </c>
      <c r="I10" s="3">
        <f t="shared" si="4"/>
        <v>26</v>
      </c>
      <c r="J10" s="3">
        <f t="shared" si="5"/>
        <v>4</v>
      </c>
      <c r="K10" s="3">
        <f t="shared" si="6"/>
        <v>169</v>
      </c>
    </row>
    <row r="11" spans="1:12" x14ac:dyDescent="0.25">
      <c r="A11" s="2">
        <v>7</v>
      </c>
      <c r="B11" s="2">
        <v>5</v>
      </c>
      <c r="C11" s="2">
        <v>63</v>
      </c>
      <c r="E11" s="3">
        <f t="shared" si="0"/>
        <v>5</v>
      </c>
      <c r="F11" s="3">
        <f t="shared" si="1"/>
        <v>63</v>
      </c>
      <c r="G11" s="3">
        <f t="shared" si="2"/>
        <v>2</v>
      </c>
      <c r="H11" s="3">
        <f t="shared" si="3"/>
        <v>12</v>
      </c>
      <c r="I11" s="3">
        <f t="shared" si="4"/>
        <v>24</v>
      </c>
      <c r="J11" s="3">
        <f t="shared" si="5"/>
        <v>4</v>
      </c>
      <c r="K11" s="3">
        <f t="shared" si="6"/>
        <v>144</v>
      </c>
    </row>
    <row r="12" spans="1:12" x14ac:dyDescent="0.25">
      <c r="A12" s="2">
        <v>8</v>
      </c>
      <c r="B12" s="2">
        <v>3</v>
      </c>
      <c r="C12" s="2">
        <v>48</v>
      </c>
      <c r="E12" s="3">
        <f t="shared" si="0"/>
        <v>3</v>
      </c>
      <c r="F12" s="3">
        <f t="shared" si="1"/>
        <v>48</v>
      </c>
      <c r="G12" s="3">
        <f t="shared" si="2"/>
        <v>0</v>
      </c>
      <c r="H12" s="3">
        <f t="shared" si="3"/>
        <v>-3</v>
      </c>
      <c r="I12" s="3">
        <f t="shared" si="4"/>
        <v>0</v>
      </c>
      <c r="J12" s="3">
        <f t="shared" si="5"/>
        <v>0</v>
      </c>
      <c r="K12" s="3">
        <f t="shared" si="6"/>
        <v>9</v>
      </c>
    </row>
    <row r="13" spans="1:12" x14ac:dyDescent="0.25">
      <c r="A13" s="2">
        <v>9</v>
      </c>
      <c r="B13" s="2">
        <v>4</v>
      </c>
      <c r="C13" s="2">
        <v>59</v>
      </c>
      <c r="E13" s="3">
        <f t="shared" si="0"/>
        <v>4</v>
      </c>
      <c r="F13" s="3">
        <f t="shared" si="1"/>
        <v>59</v>
      </c>
      <c r="G13" s="3">
        <f t="shared" si="2"/>
        <v>1</v>
      </c>
      <c r="H13" s="3">
        <f t="shared" si="3"/>
        <v>8</v>
      </c>
      <c r="I13" s="3">
        <f t="shared" si="4"/>
        <v>8</v>
      </c>
      <c r="J13" s="3">
        <f t="shared" si="5"/>
        <v>1</v>
      </c>
      <c r="K13" s="3">
        <f t="shared" si="6"/>
        <v>64</v>
      </c>
    </row>
    <row r="14" spans="1:12" x14ac:dyDescent="0.25">
      <c r="A14" s="2">
        <v>10</v>
      </c>
      <c r="B14" s="2">
        <v>2</v>
      </c>
      <c r="C14" s="2">
        <v>46</v>
      </c>
      <c r="E14" s="3">
        <f t="shared" si="0"/>
        <v>2</v>
      </c>
      <c r="F14" s="3">
        <f t="shared" si="1"/>
        <v>46</v>
      </c>
      <c r="G14" s="3">
        <f t="shared" si="2"/>
        <v>-1</v>
      </c>
      <c r="H14" s="3">
        <f t="shared" si="3"/>
        <v>-5</v>
      </c>
      <c r="I14" s="3">
        <f t="shared" si="4"/>
        <v>5</v>
      </c>
      <c r="J14" s="3">
        <f t="shared" si="5"/>
        <v>1</v>
      </c>
      <c r="K14" s="3">
        <f t="shared" si="6"/>
        <v>25</v>
      </c>
    </row>
    <row r="15" spans="1:12" x14ac:dyDescent="0.25">
      <c r="A15" t="s">
        <v>9</v>
      </c>
      <c r="B15" s="3" t="s">
        <v>9</v>
      </c>
      <c r="C15" s="3" t="s">
        <v>9</v>
      </c>
      <c r="D15" s="4" t="s">
        <v>8</v>
      </c>
      <c r="E15" s="5">
        <f>SUM(E5:E14)</f>
        <v>30</v>
      </c>
      <c r="F15" s="5">
        <f>SUM(F5:F14)</f>
        <v>510</v>
      </c>
      <c r="G15" s="5">
        <f t="shared" ref="G15:K15" si="7">SUM(G5:G14)</f>
        <v>0</v>
      </c>
      <c r="H15" s="5">
        <f t="shared" si="7"/>
        <v>0</v>
      </c>
      <c r="I15" s="5">
        <f t="shared" si="7"/>
        <v>99</v>
      </c>
      <c r="J15" s="5">
        <f t="shared" si="7"/>
        <v>20</v>
      </c>
      <c r="K15" s="5">
        <f t="shared" si="7"/>
        <v>566</v>
      </c>
    </row>
    <row r="16" spans="1:12" x14ac:dyDescent="0.25">
      <c r="B16" s="3"/>
      <c r="C16" s="3"/>
      <c r="D16" t="s">
        <v>14</v>
      </c>
      <c r="E16" s="3">
        <f>COUNT(E5:E14)</f>
        <v>10</v>
      </c>
    </row>
    <row r="17" spans="4:10" x14ac:dyDescent="0.25">
      <c r="D17" t="s">
        <v>15</v>
      </c>
      <c r="E17" s="3">
        <f>AVERAGE(E5:E14)</f>
        <v>3</v>
      </c>
      <c r="F17" s="3">
        <f>AVERAGE(F5:F14)</f>
        <v>51</v>
      </c>
    </row>
    <row r="18" spans="4:10" x14ac:dyDescent="0.25">
      <c r="D18" t="s">
        <v>9</v>
      </c>
    </row>
    <row r="19" spans="4:10" x14ac:dyDescent="0.25">
      <c r="D19" s="14" t="s">
        <v>12</v>
      </c>
    </row>
    <row r="21" spans="4:10" ht="15.75" thickBot="1" x14ac:dyDescent="0.3"/>
    <row r="22" spans="4:10" ht="15.75" thickBot="1" x14ac:dyDescent="0.3">
      <c r="F22" t="s">
        <v>13</v>
      </c>
      <c r="G22" s="9">
        <f>I15</f>
        <v>99</v>
      </c>
      <c r="H22" s="10" t="s">
        <v>17</v>
      </c>
      <c r="I22" s="12">
        <f>I15/(E16-1)</f>
        <v>11</v>
      </c>
      <c r="J22" s="13" t="s">
        <v>12</v>
      </c>
    </row>
    <row r="23" spans="4:10" x14ac:dyDescent="0.25">
      <c r="G23" s="8" t="s">
        <v>16</v>
      </c>
    </row>
    <row r="25" spans="4:10" x14ac:dyDescent="0.25">
      <c r="F25" t="s">
        <v>21</v>
      </c>
      <c r="G25" s="9">
        <f>J15</f>
        <v>20</v>
      </c>
      <c r="H25" s="10" t="s">
        <v>17</v>
      </c>
      <c r="I25" s="11">
        <f>J15/(E16-1)</f>
        <v>2.2222222222222223</v>
      </c>
    </row>
    <row r="26" spans="4:10" x14ac:dyDescent="0.25">
      <c r="G26" s="8" t="s">
        <v>16</v>
      </c>
    </row>
    <row r="28" spans="4:10" x14ac:dyDescent="0.25">
      <c r="F28" t="s">
        <v>22</v>
      </c>
      <c r="G28" s="9">
        <f>K15</f>
        <v>566</v>
      </c>
      <c r="H28" s="10" t="s">
        <v>17</v>
      </c>
      <c r="I28" s="11">
        <f>K15/(E16-1)</f>
        <v>62.888888888888886</v>
      </c>
    </row>
    <row r="29" spans="4:10" x14ac:dyDescent="0.25">
      <c r="G29" s="8" t="s">
        <v>16</v>
      </c>
    </row>
    <row r="31" spans="4:10" x14ac:dyDescent="0.25">
      <c r="D31" s="14" t="s">
        <v>18</v>
      </c>
    </row>
    <row r="35" spans="8:11" ht="15.75" thickBot="1" x14ac:dyDescent="0.3"/>
    <row r="36" spans="8:11" ht="15.75" thickBot="1" x14ac:dyDescent="0.3">
      <c r="H36" t="s">
        <v>19</v>
      </c>
      <c r="I36" s="12">
        <f>I22/(SQRT(I25*I28))</f>
        <v>0.93049058074117907</v>
      </c>
      <c r="J36" s="13" t="s">
        <v>18</v>
      </c>
      <c r="K36" s="13"/>
    </row>
  </sheetData>
  <mergeCells count="1">
    <mergeCell ref="B3:C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GOMEZ</dc:creator>
  <cp:lastModifiedBy>Roberto GOMEZ</cp:lastModifiedBy>
  <dcterms:created xsi:type="dcterms:W3CDTF">2026-02-04T03:14:26Z</dcterms:created>
  <dcterms:modified xsi:type="dcterms:W3CDTF">2026-02-04T04:01:52Z</dcterms:modified>
</cp:coreProperties>
</file>