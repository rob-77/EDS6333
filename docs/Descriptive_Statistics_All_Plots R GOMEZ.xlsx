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ofh-my.sharepoint.com/personal/rgomez22_cougarnet_uh_edu/Documents/CULLEN/2026/EDS 6333/Week 2/"/>
    </mc:Choice>
  </mc:AlternateContent>
  <xr:revisionPtr revIDLastSave="153" documentId="8_{039C24B6-983B-4A7E-89D1-D0A01D7119E0}" xr6:coauthVersionLast="47" xr6:coauthVersionMax="47" xr10:uidLastSave="{16BAECB2-062F-42AA-A556-3678A65A09A1}"/>
  <bookViews>
    <workbookView xWindow="1950" yWindow="1950" windowWidth="28800" windowHeight="16575" firstSheet="1" activeTab="2" xr2:uid="{00000000-000D-0000-FFFF-FFFF00000000}"/>
  </bookViews>
  <sheets>
    <sheet name="Overview" sheetId="1" r:id="rId1"/>
    <sheet name="BarChart_Discrete" sheetId="2" r:id="rId2"/>
    <sheet name="Histogram_Continuous" sheetId="3" r:id="rId3"/>
    <sheet name="Stem_and_Leaf" sheetId="4" r:id="rId4"/>
    <sheet name="Dotplot" sheetId="5" r:id="rId5"/>
    <sheet name="Skewness_Kurtosis" sheetId="6" r:id="rId6"/>
    <sheet name="Quantiles_Boxplot" sheetId="7" r:id="rId7"/>
    <sheet name="Scatterplot_Bivariate" sheetId="8" r:id="rId8"/>
  </sheets>
  <definedNames>
    <definedName name="_xlchart.v1.0" hidden="1">Quantiles_Boxplot!$A$4</definedName>
    <definedName name="_xlchart.v1.1" hidden="1">Quantiles_Boxplot!$A$5:$A$21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7" i="7"/>
  <c r="D5" i="7"/>
  <c r="H9" i="6"/>
  <c r="H8" i="6"/>
  <c r="H7" i="6"/>
  <c r="H6" i="6"/>
  <c r="H5" i="6"/>
  <c r="D8" i="7" l="1"/>
  <c r="D6" i="7"/>
  <c r="D4" i="7"/>
  <c r="E9" i="6"/>
  <c r="E8" i="6"/>
  <c r="E7" i="6"/>
  <c r="E6" i="6"/>
  <c r="E5" i="6"/>
  <c r="D9" i="3"/>
  <c r="D8" i="3"/>
  <c r="D7" i="3"/>
  <c r="D6" i="3"/>
  <c r="D10" i="7" l="1"/>
  <c r="D12" i="7" s="1"/>
  <c r="J5" i="6"/>
  <c r="J6" i="6" s="1"/>
  <c r="D11" i="7" l="1"/>
  <c r="F20" i="7" s="1"/>
  <c r="F6" i="6"/>
  <c r="G8" i="6"/>
  <c r="G6" i="6"/>
  <c r="F9" i="6"/>
  <c r="F5" i="6"/>
  <c r="G9" i="6"/>
  <c r="G5" i="6"/>
  <c r="F8" i="6"/>
  <c r="G7" i="6"/>
  <c r="F7" i="6"/>
  <c r="J7" i="6"/>
  <c r="F12" i="7" l="1"/>
  <c r="F7" i="7"/>
  <c r="F21" i="7"/>
  <c r="F19" i="7"/>
  <c r="F18" i="7"/>
  <c r="F14" i="7"/>
  <c r="F10" i="7"/>
  <c r="F9" i="7"/>
  <c r="F6" i="7"/>
  <c r="F5" i="7"/>
  <c r="F17" i="7"/>
  <c r="F16" i="7"/>
  <c r="F13" i="7"/>
  <c r="F8" i="7"/>
  <c r="F15" i="7"/>
  <c r="F11" i="7"/>
  <c r="J10" i="6"/>
  <c r="J9" i="6"/>
</calcChain>
</file>

<file path=xl/sharedStrings.xml><?xml version="1.0" encoding="utf-8"?>
<sst xmlns="http://schemas.openxmlformats.org/spreadsheetml/2006/main" count="82" uniqueCount="78">
  <si>
    <t>Descriptive Statistics: Graphical Presentation (Excel)</t>
  </si>
  <si>
    <t>This workbook recreates the plot types shown in your PDF as Excel-native charts/tables:</t>
  </si>
  <si>
    <t>• Bar Chart (Discrete)  →  sheet: BarChart_Discrete</t>
  </si>
  <si>
    <t>• Histogram (Continuous)  →  sheet: Histogram_Continuous</t>
  </si>
  <si>
    <t>• Stem-and-Leaf (Table)  →  sheet: Stem_and_Leaf</t>
  </si>
  <si>
    <t>• Dotplot (Scatter at y≈0)  →  sheet: Dotplot</t>
  </si>
  <si>
    <t>• Skewness &amp; Kurtosis (Histogram + Normal ref)  →  sheet: Skewness_Kurtosis</t>
  </si>
  <si>
    <t>• Quantiles + Boxplot (data + 5-number summary)  →  sheet: Quantiles_Boxplot</t>
  </si>
  <si>
    <t>• Scatterplot (Bivariate)  →  sheet: Scatterplot_Bivariate</t>
  </si>
  <si>
    <t>Discrete Data → Bar Chart (Separated Bars)</t>
  </si>
  <si>
    <t>Category</t>
  </si>
  <si>
    <t>Count</t>
  </si>
  <si>
    <t>A</t>
  </si>
  <si>
    <t>B</t>
  </si>
  <si>
    <t>C</t>
  </si>
  <si>
    <t>D</t>
  </si>
  <si>
    <t>E</t>
  </si>
  <si>
    <t>Continuous Data → Histogram (Connected Bars / Bins)</t>
  </si>
  <si>
    <t>Raw data (Age)</t>
  </si>
  <si>
    <t>Bins (left-closed)</t>
  </si>
  <si>
    <t>Frequency (COUNTIFS)</t>
  </si>
  <si>
    <t>Age</t>
  </si>
  <si>
    <t>Bin label</t>
  </si>
  <si>
    <t>Bin start</t>
  </si>
  <si>
    <t>Freq</t>
  </si>
  <si>
    <t>[20, 30)</t>
  </si>
  <si>
    <t>[30, 40)</t>
  </si>
  <si>
    <t>[40, 50)</t>
  </si>
  <si>
    <t>[50, 60)</t>
  </si>
  <si>
    <t>[60, 70)</t>
  </si>
  <si>
    <t>Stem-and-Leaf Plot (Table representation)</t>
  </si>
  <si>
    <t>Example data:</t>
  </si>
  <si>
    <t>Values</t>
  </si>
  <si>
    <t>Stem</t>
  </si>
  <si>
    <t>Leaf</t>
  </si>
  <si>
    <t>2 5 7</t>
  </si>
  <si>
    <t>0 6 9</t>
  </si>
  <si>
    <t>3 3 3</t>
  </si>
  <si>
    <t>1</t>
  </si>
  <si>
    <t>Interpretation: 4 | 6 means 4.6</t>
  </si>
  <si>
    <t>Dotplot (each value as a dot on a number line)</t>
  </si>
  <si>
    <t>Data (Age):</t>
  </si>
  <si>
    <t>y (stack for repeats)</t>
  </si>
  <si>
    <t>Skewness &amp; Kurtosis (Grouped-data estimate)</t>
  </si>
  <si>
    <t>Raw Age data</t>
  </si>
  <si>
    <t>Midpoint</t>
  </si>
  <si>
    <t>(x-m)^3 * f</t>
  </si>
  <si>
    <t>(x-m)^4 * f</t>
  </si>
  <si>
    <t>Normal ref</t>
  </si>
  <si>
    <t>Grouped stats</t>
  </si>
  <si>
    <t>[22,30)</t>
  </si>
  <si>
    <t>n</t>
  </si>
  <si>
    <t>[30,38)</t>
  </si>
  <si>
    <t>mean (m)</t>
  </si>
  <si>
    <t>[38,46)</t>
  </si>
  <si>
    <t>variance (s^2)</t>
  </si>
  <si>
    <t>[46,54)</t>
  </si>
  <si>
    <t>[54,70)</t>
  </si>
  <si>
    <t>skewness</t>
  </si>
  <si>
    <t>excess kurtosis</t>
  </si>
  <si>
    <t>bin_width</t>
  </si>
  <si>
    <t>Quantiles &amp; Boxplot (data + 5-number summary)</t>
  </si>
  <si>
    <t>Age data</t>
  </si>
  <si>
    <t>5-number summary (Excel formulas)</t>
  </si>
  <si>
    <t>Min</t>
  </si>
  <si>
    <t>Outlier?</t>
  </si>
  <si>
    <t>Q1</t>
  </si>
  <si>
    <t>Median</t>
  </si>
  <si>
    <t>Q3</t>
  </si>
  <si>
    <t>Max</t>
  </si>
  <si>
    <t>IQR</t>
  </si>
  <si>
    <t>Lower fence</t>
  </si>
  <si>
    <t>Upper fence</t>
  </si>
  <si>
    <t>Scatterplot &amp; Bivariate Data</t>
  </si>
  <si>
    <t>Example data (X = study hours, Y = exam score)</t>
  </si>
  <si>
    <t>StudyHours (X)</t>
  </si>
  <si>
    <t>Score (Y)</t>
  </si>
  <si>
    <t>Bin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</si>
</sst>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i/>
      <sz val="11"/>
      <color rgb="FF666666"/>
      <name val="Calibri"/>
      <family val="2"/>
    </font>
    <font>
      <sz val="11"/>
      <color rgb="FF444444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Discrete Data</a:t>
            </a:r>
            <a:r>
              <a:rPr lang="en-US" baseline="0"/>
              <a:t> -&gt; Bar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BarChart_Discrete!$A$3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BarChart_Discrete!$B$2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BarChart_Discrete!$B$3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9-40E6-A6F8-7533590726FE}"/>
            </c:ext>
          </c:extLst>
        </c:ser>
        <c:ser>
          <c:idx val="1"/>
          <c:order val="1"/>
          <c:tx>
            <c:strRef>
              <c:f>BarChart_Discrete!$A$4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BarChart_Discrete!$B$2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BarChart_Discrete!$B$4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19-40E6-A6F8-7533590726FE}"/>
            </c:ext>
          </c:extLst>
        </c:ser>
        <c:ser>
          <c:idx val="2"/>
          <c:order val="2"/>
          <c:tx>
            <c:strRef>
              <c:f>BarChart_Discrete!$A$5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BarChart_Discrete!$B$2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BarChart_Discrete!$B$5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19-40E6-A6F8-7533590726FE}"/>
            </c:ext>
          </c:extLst>
        </c:ser>
        <c:ser>
          <c:idx val="3"/>
          <c:order val="3"/>
          <c:tx>
            <c:strRef>
              <c:f>BarChart_Discrete!$A$6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BarChart_Discrete!$B$2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BarChart_Discrete!$B$6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19-40E6-A6F8-7533590726FE}"/>
            </c:ext>
          </c:extLst>
        </c:ser>
        <c:ser>
          <c:idx val="4"/>
          <c:order val="4"/>
          <c:tx>
            <c:strRef>
              <c:f>BarChart_Discrete!$A$7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BarChart_Discrete!$B$2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BarChart_Discrete!$B$7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19-40E6-A6F8-753359072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733279"/>
        <c:axId val="1775735199"/>
      </c:barChart>
      <c:catAx>
        <c:axId val="1775733279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75735199"/>
        <c:crosses val="autoZero"/>
        <c:auto val="1"/>
        <c:lblAlgn val="ctr"/>
        <c:lblOffset val="100"/>
        <c:noMultiLvlLbl val="0"/>
      </c:catAx>
      <c:valAx>
        <c:axId val="17757351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77573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Histogram_Continuous!$D$4</c:f>
              <c:strCache>
                <c:ptCount val="1"/>
                <c:pt idx="0">
                  <c:v>Freq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solidFill>
                <a:sysClr val="windowText" lastClr="000000">
                  <a:lumMod val="65000"/>
                  <a:lumOff val="35000"/>
                  <a:alpha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Histogram_Continuous!$B$5:$B$9</c:f>
              <c:strCache>
                <c:ptCount val="5"/>
                <c:pt idx="0">
                  <c:v>[20, 30)</c:v>
                </c:pt>
                <c:pt idx="1">
                  <c:v>[30, 40)</c:v>
                </c:pt>
                <c:pt idx="2">
                  <c:v>[40, 50)</c:v>
                </c:pt>
                <c:pt idx="3">
                  <c:v>[50, 60)</c:v>
                </c:pt>
                <c:pt idx="4">
                  <c:v>[60, 70)</c:v>
                </c:pt>
              </c:strCache>
            </c:strRef>
          </c:cat>
          <c:val>
            <c:numRef>
              <c:f>Histogram_Continuous!$D$5:$D$9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5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5-4D45-B162-95C3F407F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axId val="1768818735"/>
        <c:axId val="1768816815"/>
      </c:barChart>
      <c:catAx>
        <c:axId val="176881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816815"/>
        <c:crosses val="autoZero"/>
        <c:auto val="1"/>
        <c:lblAlgn val="ctr"/>
        <c:lblOffset val="100"/>
        <c:noMultiLvlLbl val="0"/>
      </c:catAx>
      <c:valAx>
        <c:axId val="17688168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881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Dot</a:t>
            </a:r>
            <a:r>
              <a:rPr lang="en-US" baseline="0"/>
              <a:t>plot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>
              <a:outerShdw blurRad="50800" dist="50800" dir="5400000" algn="ctr" rotWithShape="0">
                <a:schemeClr val="tx2">
                  <a:lumMod val="75000"/>
                </a:schemeClr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outerShdw blurRad="50800" dist="50800" dir="5400000" algn="ctr" rotWithShape="0">
                  <a:schemeClr val="tx2">
                    <a:lumMod val="75000"/>
                  </a:schemeClr>
                </a:outerShdw>
              </a:effectLst>
            </c:spPr>
          </c:marker>
          <c:xVal>
            <c:numRef>
              <c:f>Dotplot!$A$5:$A$24</c:f>
              <c:numCache>
                <c:formatCode>General</c:formatCode>
                <c:ptCount val="20"/>
                <c:pt idx="0">
                  <c:v>28</c:v>
                </c:pt>
                <c:pt idx="1">
                  <c:v>44</c:v>
                </c:pt>
                <c:pt idx="2">
                  <c:v>22</c:v>
                </c:pt>
                <c:pt idx="3">
                  <c:v>31</c:v>
                </c:pt>
                <c:pt idx="4">
                  <c:v>34</c:v>
                </c:pt>
                <c:pt idx="5">
                  <c:v>48</c:v>
                </c:pt>
                <c:pt idx="6">
                  <c:v>45</c:v>
                </c:pt>
                <c:pt idx="7">
                  <c:v>32</c:v>
                </c:pt>
                <c:pt idx="8">
                  <c:v>24</c:v>
                </c:pt>
                <c:pt idx="9">
                  <c:v>32</c:v>
                </c:pt>
                <c:pt idx="10">
                  <c:v>36</c:v>
                </c:pt>
                <c:pt idx="11">
                  <c:v>46</c:v>
                </c:pt>
                <c:pt idx="12">
                  <c:v>46</c:v>
                </c:pt>
                <c:pt idx="13">
                  <c:v>26</c:v>
                </c:pt>
                <c:pt idx="14">
                  <c:v>37</c:v>
                </c:pt>
                <c:pt idx="15">
                  <c:v>32</c:v>
                </c:pt>
                <c:pt idx="16">
                  <c:v>62</c:v>
                </c:pt>
                <c:pt idx="17">
                  <c:v>31</c:v>
                </c:pt>
                <c:pt idx="18">
                  <c:v>30</c:v>
                </c:pt>
                <c:pt idx="19">
                  <c:v>35</c:v>
                </c:pt>
              </c:numCache>
            </c:numRef>
          </c:xVal>
          <c:yVal>
            <c:numRef>
              <c:f>Dotplot!$B$5:$B$24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</c:v>
                </c:pt>
                <c:pt idx="10">
                  <c:v>0</c:v>
                </c:pt>
                <c:pt idx="11">
                  <c:v>0</c:v>
                </c:pt>
                <c:pt idx="12">
                  <c:v>0.15</c:v>
                </c:pt>
                <c:pt idx="13">
                  <c:v>0</c:v>
                </c:pt>
                <c:pt idx="14">
                  <c:v>0</c:v>
                </c:pt>
                <c:pt idx="15">
                  <c:v>0.3</c:v>
                </c:pt>
                <c:pt idx="16">
                  <c:v>0</c:v>
                </c:pt>
                <c:pt idx="17">
                  <c:v>0.15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FB-433A-817F-A5465965C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700447"/>
        <c:axId val="1463703327"/>
      </c:scatterChart>
      <c:valAx>
        <c:axId val="146370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703327"/>
        <c:crosses val="autoZero"/>
        <c:crossBetween val="midCat"/>
      </c:valAx>
      <c:valAx>
        <c:axId val="146370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700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Skewness</a:t>
            </a:r>
            <a:r>
              <a:rPr lang="en-US" baseline="0"/>
              <a:t> &amp; Kurtosis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Skewness_Kurtosis!$E$4</c:f>
              <c:strCache>
                <c:ptCount val="1"/>
                <c:pt idx="0">
                  <c:v>Freq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Skewness_Kurtosis!$C$5:$C$9</c:f>
              <c:strCache>
                <c:ptCount val="5"/>
                <c:pt idx="0">
                  <c:v>[22,30)</c:v>
                </c:pt>
                <c:pt idx="1">
                  <c:v>[30,38)</c:v>
                </c:pt>
                <c:pt idx="2">
                  <c:v>[38,46)</c:v>
                </c:pt>
                <c:pt idx="3">
                  <c:v>[46,54)</c:v>
                </c:pt>
                <c:pt idx="4">
                  <c:v>[54,70)</c:v>
                </c:pt>
              </c:strCache>
            </c:strRef>
          </c:cat>
          <c:val>
            <c:numRef>
              <c:f>Skewness_Kurtosis!$E$5:$E$9</c:f>
              <c:numCache>
                <c:formatCode>General</c:formatCode>
                <c:ptCount val="5"/>
                <c:pt idx="0">
                  <c:v>4</c:v>
                </c:pt>
                <c:pt idx="1">
                  <c:v>10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F-4B58-B1DA-4D6F40283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2172751"/>
        <c:axId val="1772171311"/>
      </c:barChart>
      <c:lineChart>
        <c:grouping val="standard"/>
        <c:varyColors val="0"/>
        <c:ser>
          <c:idx val="1"/>
          <c:order val="1"/>
          <c:tx>
            <c:strRef>
              <c:f>Skewness_Kurtosis!$H$4</c:f>
              <c:strCache>
                <c:ptCount val="1"/>
                <c:pt idx="0">
                  <c:v>Normal ref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Skewness_Kurtosis!$C$5:$C$9</c:f>
              <c:strCache>
                <c:ptCount val="5"/>
                <c:pt idx="0">
                  <c:v>[22,30)</c:v>
                </c:pt>
                <c:pt idx="1">
                  <c:v>[30,38)</c:v>
                </c:pt>
                <c:pt idx="2">
                  <c:v>[38,46)</c:v>
                </c:pt>
                <c:pt idx="3">
                  <c:v>[46,54)</c:v>
                </c:pt>
                <c:pt idx="4">
                  <c:v>[54,70)</c:v>
                </c:pt>
              </c:strCache>
            </c:strRef>
          </c:cat>
          <c:val>
            <c:numRef>
              <c:f>Skewness_Kurtosis!$H$5:$H$9</c:f>
              <c:numCache>
                <c:formatCode>General</c:formatCode>
                <c:ptCount val="5"/>
                <c:pt idx="0">
                  <c:v>3.4502446040360861</c:v>
                </c:pt>
                <c:pt idx="1">
                  <c:v>6.3240996680133783</c:v>
                </c:pt>
                <c:pt idx="2">
                  <c:v>5.7997065128467051</c:v>
                </c:pt>
                <c:pt idx="3">
                  <c:v>2.6611651011746811</c:v>
                </c:pt>
                <c:pt idx="4">
                  <c:v>0.22577725741315569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6F-4B58-B1DA-4D6F40283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2172751"/>
        <c:axId val="1772171311"/>
      </c:lineChart>
      <c:catAx>
        <c:axId val="177217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171311"/>
        <c:crosses val="autoZero"/>
        <c:auto val="1"/>
        <c:lblAlgn val="ctr"/>
        <c:lblOffset val="100"/>
        <c:noMultiLvlLbl val="0"/>
      </c:catAx>
      <c:valAx>
        <c:axId val="177217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17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Scatterplot_Bivariate!$A$5:$A$15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Scatterplot_Bivariate!$B$5:$B$15</c:f>
              <c:numCache>
                <c:formatCode>General</c:formatCode>
                <c:ptCount val="11"/>
                <c:pt idx="0">
                  <c:v>55</c:v>
                </c:pt>
                <c:pt idx="1">
                  <c:v>58</c:v>
                </c:pt>
                <c:pt idx="2">
                  <c:v>62</c:v>
                </c:pt>
                <c:pt idx="3">
                  <c:v>65</c:v>
                </c:pt>
                <c:pt idx="4">
                  <c:v>70</c:v>
                </c:pt>
                <c:pt idx="5">
                  <c:v>74</c:v>
                </c:pt>
                <c:pt idx="6">
                  <c:v>78</c:v>
                </c:pt>
                <c:pt idx="7">
                  <c:v>81</c:v>
                </c:pt>
                <c:pt idx="8">
                  <c:v>85</c:v>
                </c:pt>
                <c:pt idx="9">
                  <c:v>87</c:v>
                </c:pt>
                <c:pt idx="10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DB-4128-A447-505AED550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157120"/>
        <c:axId val="1188155200"/>
      </c:scatterChart>
      <c:valAx>
        <c:axId val="118815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Study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55200"/>
        <c:crosses val="autoZero"/>
        <c:crossBetween val="midCat"/>
      </c:valAx>
      <c:valAx>
        <c:axId val="118815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5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Quantiles &amp; Boxplot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Quantiles &amp; Boxplot Chart</a:t>
          </a:r>
        </a:p>
      </cx:txPr>
    </cx:title>
    <cx:plotArea>
      <cx:plotAreaRegion>
        <cx:series layoutId="boxWhisker" uniqueId="{D811E820-B498-484E-AADE-B2015849EA22}">
          <cx:tx>
            <cx:txData>
              <cx:f>_xlchart.v1.0</cx:f>
              <cx:v>Age</cx:v>
            </cx:txData>
          </cx:tx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742950</xdr:colOff>
      <xdr:row>2</xdr:row>
      <xdr:rowOff>61912</xdr:rowOff>
    </xdr:from>
    <xdr:to>
      <xdr:col>11</xdr:col>
      <xdr:colOff>533400</xdr:colOff>
      <xdr:row>21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00CCDE-84E6-2AFC-22FD-91EB56246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704850</xdr:colOff>
      <xdr:row>3</xdr:row>
      <xdr:rowOff>100012</xdr:rowOff>
    </xdr:from>
    <xdr:to>
      <xdr:col>10</xdr:col>
      <xdr:colOff>457200</xdr:colOff>
      <xdr:row>17</xdr:row>
      <xdr:rowOff>176212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2CAD5D-D764-E94E-8B7D-6CD32DF8D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1162050</xdr:colOff>
      <xdr:row>2</xdr:row>
      <xdr:rowOff>166687</xdr:rowOff>
    </xdr:from>
    <xdr:to>
      <xdr:col>9</xdr:col>
      <xdr:colOff>571500</xdr:colOff>
      <xdr:row>23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E018B2-1379-7D27-62B7-F8BCFBB08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14</xdr:row>
      <xdr:rowOff>71436</xdr:rowOff>
    </xdr:from>
    <xdr:to>
      <xdr:col>10</xdr:col>
      <xdr:colOff>790575</xdr:colOff>
      <xdr:row>33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18EF03-F14D-C9A0-68CF-E5B0C338E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80962</xdr:colOff>
      <xdr:row>3</xdr:row>
      <xdr:rowOff>157162</xdr:rowOff>
    </xdr:from>
    <xdr:to>
      <xdr:col>14</xdr:col>
      <xdr:colOff>195262</xdr:colOff>
      <xdr:row>18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B556AAF-C43C-27A1-8F21-C3AB1A9649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48262" y="8048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742950</xdr:colOff>
      <xdr:row>4</xdr:row>
      <xdr:rowOff>71436</xdr:rowOff>
    </xdr:from>
    <xdr:to>
      <xdr:col>10</xdr:col>
      <xdr:colOff>80962</xdr:colOff>
      <xdr:row>22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8E594A-05A9-A074-F8F0-06DB0D871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"/>
  <sheetViews>
    <sheetView workbookViewId="0">
      <selection sqref="A1:F1"/>
    </sheetView>
  </sheetViews>
  <sheetFormatPr defaultRowHeight="15" x14ac:dyDescent="0.25"/>
  <cols>
    <col min="1" max="1" width="90" customWidth="1"/>
    <col min="2" max="6" width="20" customWidth="1"/>
  </cols>
  <sheetData>
    <row r="1" spans="1:6" ht="21" x14ac:dyDescent="0.25">
      <c r="A1" s="9" t="s">
        <v>0</v>
      </c>
      <c r="B1" s="10"/>
      <c r="C1" s="10"/>
      <c r="D1" s="10"/>
      <c r="E1" s="10"/>
      <c r="F1" s="10"/>
    </row>
    <row r="3" spans="1:6" x14ac:dyDescent="0.25">
      <c r="A3" s="1" t="s">
        <v>1</v>
      </c>
    </row>
    <row r="5" spans="1:6" x14ac:dyDescent="0.25">
      <c r="A5" t="s">
        <v>2</v>
      </c>
    </row>
    <row r="6" spans="1:6" x14ac:dyDescent="0.25">
      <c r="A6" t="s">
        <v>3</v>
      </c>
    </row>
    <row r="7" spans="1:6" x14ac:dyDescent="0.25">
      <c r="A7" t="s">
        <v>4</v>
      </c>
    </row>
    <row r="8" spans="1:6" x14ac:dyDescent="0.25">
      <c r="A8" t="s">
        <v>5</v>
      </c>
    </row>
    <row r="9" spans="1:6" x14ac:dyDescent="0.25">
      <c r="A9" t="s">
        <v>6</v>
      </c>
    </row>
    <row r="10" spans="1:6" x14ac:dyDescent="0.25">
      <c r="A10" t="s">
        <v>7</v>
      </c>
    </row>
    <row r="11" spans="1:6" x14ac:dyDescent="0.25">
      <c r="A11" t="s">
        <v>8</v>
      </c>
    </row>
  </sheetData>
  <mergeCells count="1">
    <mergeCell ref="A1:F1"/>
  </mergeCells>
  <pageMargins left="0.75" right="0.75" top="1" bottom="1" header="0.5" footer="0.5"/>
  <pageSetup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7"/>
  <sheetViews>
    <sheetView workbookViewId="0">
      <selection activeCell="K24" sqref="K24"/>
    </sheetView>
  </sheetViews>
  <sheetFormatPr defaultRowHeight="15" x14ac:dyDescent="0.25"/>
  <cols>
    <col min="1" max="1" width="14" customWidth="1"/>
    <col min="2" max="2" width="10" customWidth="1"/>
    <col min="3" max="3" width="3" customWidth="1"/>
    <col min="4" max="6" width="18" customWidth="1"/>
  </cols>
  <sheetData>
    <row r="1" spans="1:6" ht="21" x14ac:dyDescent="0.25">
      <c r="A1" s="9" t="s">
        <v>9</v>
      </c>
      <c r="B1" s="10"/>
      <c r="C1" s="10"/>
      <c r="D1" s="10"/>
      <c r="E1" s="10"/>
      <c r="F1" s="10"/>
    </row>
    <row r="2" spans="1:6" x14ac:dyDescent="0.25">
      <c r="A2" t="s">
        <v>10</v>
      </c>
      <c r="B2" t="s">
        <v>11</v>
      </c>
    </row>
    <row r="3" spans="1:6" x14ac:dyDescent="0.25">
      <c r="A3" t="s">
        <v>12</v>
      </c>
      <c r="B3">
        <v>5</v>
      </c>
    </row>
    <row r="4" spans="1:6" x14ac:dyDescent="0.25">
      <c r="A4" t="s">
        <v>13</v>
      </c>
      <c r="B4">
        <v>9</v>
      </c>
    </row>
    <row r="5" spans="1:6" x14ac:dyDescent="0.25">
      <c r="A5" t="s">
        <v>14</v>
      </c>
      <c r="B5">
        <v>3</v>
      </c>
    </row>
    <row r="6" spans="1:6" x14ac:dyDescent="0.25">
      <c r="A6" t="s">
        <v>15</v>
      </c>
      <c r="B6">
        <v>7</v>
      </c>
    </row>
    <row r="7" spans="1:6" x14ac:dyDescent="0.25">
      <c r="A7" t="s">
        <v>16</v>
      </c>
      <c r="B7">
        <v>4</v>
      </c>
    </row>
  </sheetData>
  <mergeCells count="1">
    <mergeCell ref="A1:F1"/>
  </mergeCells>
  <pageMargins left="0.75" right="0.75" top="1" bottom="1" header="0.5" footer="0.5"/>
  <pageSetup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4"/>
  <sheetViews>
    <sheetView tabSelected="1" workbookViewId="0">
      <selection activeCell="D6" sqref="D6"/>
    </sheetView>
  </sheetViews>
  <sheetFormatPr defaultRowHeight="15" x14ac:dyDescent="0.25"/>
  <cols>
    <col min="1" max="1" width="14.42578125" style="5" bestFit="1" customWidth="1"/>
    <col min="2" max="2" width="14" customWidth="1"/>
    <col min="3" max="3" width="16.28515625" bestFit="1" customWidth="1"/>
    <col min="4" max="4" width="12" customWidth="1"/>
    <col min="5" max="5" width="2" customWidth="1"/>
    <col min="6" max="8" width="18" customWidth="1"/>
  </cols>
  <sheetData>
    <row r="1" spans="1:8" ht="21" x14ac:dyDescent="0.25">
      <c r="A1" s="9" t="s">
        <v>17</v>
      </c>
      <c r="B1" s="10"/>
      <c r="C1" s="10"/>
      <c r="D1" s="10"/>
      <c r="E1" s="10"/>
      <c r="F1" s="10"/>
      <c r="G1" s="10"/>
      <c r="H1" s="10"/>
    </row>
    <row r="3" spans="1:8" x14ac:dyDescent="0.25">
      <c r="A3" s="4" t="s">
        <v>18</v>
      </c>
      <c r="C3" s="1" t="s">
        <v>19</v>
      </c>
      <c r="D3" s="1" t="s">
        <v>20</v>
      </c>
    </row>
    <row r="4" spans="1:8" x14ac:dyDescent="0.25">
      <c r="A4" s="5" t="s">
        <v>21</v>
      </c>
      <c r="B4" s="1" t="s">
        <v>77</v>
      </c>
      <c r="C4" s="1" t="s">
        <v>23</v>
      </c>
      <c r="D4" s="1" t="s">
        <v>24</v>
      </c>
    </row>
    <row r="5" spans="1:8" x14ac:dyDescent="0.25">
      <c r="A5" s="5">
        <v>28</v>
      </c>
      <c r="B5" t="s">
        <v>25</v>
      </c>
      <c r="C5">
        <v>20</v>
      </c>
      <c r="D5" t="e">
        <f>COUNTIFS($A$2:$D$6,"&gt;=20",$A:$A,"&lt;30")</f>
        <v>#VALUE!</v>
      </c>
    </row>
    <row r="6" spans="1:8" x14ac:dyDescent="0.25">
      <c r="A6" s="5">
        <v>44</v>
      </c>
      <c r="B6" t="s">
        <v>26</v>
      </c>
      <c r="C6">
        <v>30</v>
      </c>
      <c r="D6">
        <f>COUNTIFS($A:$A,"&gt;=30",$A:$A,"&lt;40")</f>
        <v>10</v>
      </c>
    </row>
    <row r="7" spans="1:8" x14ac:dyDescent="0.25">
      <c r="A7" s="5">
        <v>22</v>
      </c>
      <c r="B7" t="s">
        <v>27</v>
      </c>
      <c r="C7">
        <v>40</v>
      </c>
      <c r="D7">
        <f>COUNTIFS($A:$A,"&gt;=40",$A:$A,"&lt;50")</f>
        <v>5</v>
      </c>
    </row>
    <row r="8" spans="1:8" x14ac:dyDescent="0.25">
      <c r="A8" s="5">
        <v>31</v>
      </c>
      <c r="B8" t="s">
        <v>28</v>
      </c>
      <c r="C8">
        <v>50</v>
      </c>
      <c r="D8">
        <f>COUNTIFS($A:$A,"&gt;=50",$A:$A,"&lt;60")</f>
        <v>0</v>
      </c>
    </row>
    <row r="9" spans="1:8" x14ac:dyDescent="0.25">
      <c r="A9" s="5">
        <v>34</v>
      </c>
      <c r="B9" t="s">
        <v>29</v>
      </c>
      <c r="C9">
        <v>60</v>
      </c>
      <c r="D9">
        <f>COUNTIFS($A:$A,"&gt;=60",$A:$A,"&lt;70")</f>
        <v>1</v>
      </c>
    </row>
    <row r="10" spans="1:8" x14ac:dyDescent="0.25">
      <c r="A10" s="5">
        <v>48</v>
      </c>
    </row>
    <row r="11" spans="1:8" x14ac:dyDescent="0.25">
      <c r="A11" s="5">
        <v>45</v>
      </c>
    </row>
    <row r="12" spans="1:8" x14ac:dyDescent="0.25">
      <c r="A12" s="5">
        <v>32</v>
      </c>
    </row>
    <row r="13" spans="1:8" x14ac:dyDescent="0.25">
      <c r="A13" s="5">
        <v>24</v>
      </c>
    </row>
    <row r="14" spans="1:8" x14ac:dyDescent="0.25">
      <c r="A14" s="5">
        <v>32</v>
      </c>
    </row>
    <row r="15" spans="1:8" x14ac:dyDescent="0.25">
      <c r="A15" s="5">
        <v>36</v>
      </c>
    </row>
    <row r="16" spans="1:8" x14ac:dyDescent="0.25">
      <c r="A16" s="5">
        <v>46</v>
      </c>
    </row>
    <row r="17" spans="1:1" x14ac:dyDescent="0.25">
      <c r="A17" s="5">
        <v>46</v>
      </c>
    </row>
    <row r="18" spans="1:1" x14ac:dyDescent="0.25">
      <c r="A18" s="5">
        <v>26</v>
      </c>
    </row>
    <row r="19" spans="1:1" x14ac:dyDescent="0.25">
      <c r="A19" s="5">
        <v>37</v>
      </c>
    </row>
    <row r="20" spans="1:1" x14ac:dyDescent="0.25">
      <c r="A20" s="5">
        <v>32</v>
      </c>
    </row>
    <row r="21" spans="1:1" x14ac:dyDescent="0.25">
      <c r="A21" s="5">
        <v>62</v>
      </c>
    </row>
    <row r="22" spans="1:1" x14ac:dyDescent="0.25">
      <c r="A22" s="5">
        <v>31</v>
      </c>
    </row>
    <row r="23" spans="1:1" x14ac:dyDescent="0.25">
      <c r="A23" s="5">
        <v>30</v>
      </c>
    </row>
    <row r="24" spans="1:1" x14ac:dyDescent="0.25">
      <c r="A24" s="5">
        <v>35</v>
      </c>
    </row>
  </sheetData>
  <mergeCells count="1">
    <mergeCell ref="A1:H1"/>
  </mergeCells>
  <pageMargins left="0.75" right="0.75" top="1" bottom="1" header="0.5" footer="0.5"/>
  <pageSetup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D18" sqref="D18"/>
    </sheetView>
  </sheetViews>
  <sheetFormatPr defaultRowHeight="15" x14ac:dyDescent="0.25"/>
  <cols>
    <col min="1" max="1" width="16" customWidth="1"/>
    <col min="2" max="2" width="3" customWidth="1"/>
    <col min="3" max="3" width="8" customWidth="1"/>
    <col min="4" max="4" width="30" customWidth="1"/>
    <col min="5" max="6" width="12" customWidth="1"/>
  </cols>
  <sheetData>
    <row r="1" spans="1:6" ht="21" x14ac:dyDescent="0.25">
      <c r="A1" s="9" t="s">
        <v>30</v>
      </c>
      <c r="B1" s="10"/>
      <c r="C1" s="10"/>
      <c r="D1" s="10"/>
      <c r="E1" s="10"/>
      <c r="F1" s="10"/>
    </row>
    <row r="3" spans="1:6" x14ac:dyDescent="0.25">
      <c r="A3" s="1" t="s">
        <v>31</v>
      </c>
    </row>
    <row r="4" spans="1:6" x14ac:dyDescent="0.25">
      <c r="A4" s="1" t="s">
        <v>32</v>
      </c>
      <c r="C4" s="1" t="s">
        <v>33</v>
      </c>
      <c r="D4" s="1" t="s">
        <v>34</v>
      </c>
    </row>
    <row r="5" spans="1:6" x14ac:dyDescent="0.25">
      <c r="A5">
        <v>3.2</v>
      </c>
      <c r="C5">
        <v>3</v>
      </c>
      <c r="D5" t="s">
        <v>35</v>
      </c>
    </row>
    <row r="6" spans="1:6" x14ac:dyDescent="0.25">
      <c r="A6">
        <v>3.5</v>
      </c>
      <c r="C6">
        <v>4</v>
      </c>
      <c r="D6" t="s">
        <v>36</v>
      </c>
    </row>
    <row r="7" spans="1:6" x14ac:dyDescent="0.25">
      <c r="A7">
        <v>3.7</v>
      </c>
      <c r="C7">
        <v>5</v>
      </c>
      <c r="D7" t="s">
        <v>37</v>
      </c>
    </row>
    <row r="8" spans="1:6" x14ac:dyDescent="0.25">
      <c r="A8">
        <v>4</v>
      </c>
      <c r="C8">
        <v>6</v>
      </c>
      <c r="D8" t="s">
        <v>38</v>
      </c>
    </row>
    <row r="9" spans="1:6" x14ac:dyDescent="0.25">
      <c r="A9">
        <v>4.5999999999999996</v>
      </c>
    </row>
    <row r="10" spans="1:6" x14ac:dyDescent="0.25">
      <c r="A10">
        <v>4.9000000000000004</v>
      </c>
    </row>
    <row r="11" spans="1:6" x14ac:dyDescent="0.25">
      <c r="A11">
        <v>5.3</v>
      </c>
    </row>
    <row r="12" spans="1:6" x14ac:dyDescent="0.25">
      <c r="A12">
        <v>5.3</v>
      </c>
    </row>
    <row r="13" spans="1:6" x14ac:dyDescent="0.25">
      <c r="A13">
        <v>5.3</v>
      </c>
    </row>
    <row r="14" spans="1:6" x14ac:dyDescent="0.25">
      <c r="A14">
        <v>6.1</v>
      </c>
    </row>
    <row r="16" spans="1:6" x14ac:dyDescent="0.25">
      <c r="A16" s="2" t="s">
        <v>39</v>
      </c>
    </row>
  </sheetData>
  <mergeCells count="1">
    <mergeCell ref="A1:F1"/>
  </mergeCells>
  <pageMargins left="0.75" right="0.75" top="1" bottom="1" header="0.5" footer="0.5"/>
  <pageSetup orientation="landscape" horizontalDpi="1200" verticalDpi="1200" r:id="rId1"/>
  <ignoredErrors>
    <ignoredError sqref="D5 D7" twoDigitTextYear="1"/>
    <ignoredError sqref="D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4"/>
  <sheetViews>
    <sheetView workbookViewId="0">
      <selection activeCell="B23" sqref="B23"/>
    </sheetView>
  </sheetViews>
  <sheetFormatPr defaultRowHeight="15" x14ac:dyDescent="0.25"/>
  <cols>
    <col min="1" max="1" width="10" customWidth="1"/>
    <col min="2" max="2" width="18" customWidth="1"/>
    <col min="3" max="3" width="3" customWidth="1"/>
    <col min="4" max="8" width="18" customWidth="1"/>
  </cols>
  <sheetData>
    <row r="1" spans="1:8" ht="21" x14ac:dyDescent="0.25">
      <c r="A1" s="9" t="s">
        <v>40</v>
      </c>
      <c r="B1" s="10"/>
      <c r="C1" s="10"/>
      <c r="D1" s="10"/>
      <c r="E1" s="10"/>
      <c r="F1" s="10"/>
      <c r="G1" s="10"/>
      <c r="H1" s="10"/>
    </row>
    <row r="3" spans="1:8" x14ac:dyDescent="0.25">
      <c r="A3" s="1" t="s">
        <v>41</v>
      </c>
    </row>
    <row r="4" spans="1:8" x14ac:dyDescent="0.25">
      <c r="A4" s="1" t="s">
        <v>21</v>
      </c>
      <c r="B4" s="1" t="s">
        <v>42</v>
      </c>
    </row>
    <row r="5" spans="1:8" x14ac:dyDescent="0.25">
      <c r="A5">
        <v>28</v>
      </c>
      <c r="B5">
        <v>0</v>
      </c>
    </row>
    <row r="6" spans="1:8" x14ac:dyDescent="0.25">
      <c r="A6">
        <v>44</v>
      </c>
      <c r="B6">
        <v>0</v>
      </c>
    </row>
    <row r="7" spans="1:8" x14ac:dyDescent="0.25">
      <c r="A7">
        <v>22</v>
      </c>
      <c r="B7">
        <v>0</v>
      </c>
    </row>
    <row r="8" spans="1:8" x14ac:dyDescent="0.25">
      <c r="A8">
        <v>31</v>
      </c>
      <c r="B8">
        <v>0</v>
      </c>
    </row>
    <row r="9" spans="1:8" x14ac:dyDescent="0.25">
      <c r="A9">
        <v>34</v>
      </c>
      <c r="B9">
        <v>0</v>
      </c>
    </row>
    <row r="10" spans="1:8" x14ac:dyDescent="0.25">
      <c r="A10">
        <v>48</v>
      </c>
      <c r="B10">
        <v>0</v>
      </c>
    </row>
    <row r="11" spans="1:8" x14ac:dyDescent="0.25">
      <c r="A11">
        <v>45</v>
      </c>
      <c r="B11">
        <v>0</v>
      </c>
    </row>
    <row r="12" spans="1:8" x14ac:dyDescent="0.25">
      <c r="A12">
        <v>32</v>
      </c>
      <c r="B12">
        <v>0</v>
      </c>
    </row>
    <row r="13" spans="1:8" x14ac:dyDescent="0.25">
      <c r="A13">
        <v>24</v>
      </c>
      <c r="B13">
        <v>0</v>
      </c>
    </row>
    <row r="14" spans="1:8" x14ac:dyDescent="0.25">
      <c r="A14">
        <v>32</v>
      </c>
      <c r="B14">
        <v>0.15</v>
      </c>
    </row>
    <row r="15" spans="1:8" x14ac:dyDescent="0.25">
      <c r="A15">
        <v>36</v>
      </c>
      <c r="B15">
        <v>0</v>
      </c>
    </row>
    <row r="16" spans="1:8" x14ac:dyDescent="0.25">
      <c r="A16">
        <v>46</v>
      </c>
      <c r="B16">
        <v>0</v>
      </c>
    </row>
    <row r="17" spans="1:2" x14ac:dyDescent="0.25">
      <c r="A17">
        <v>46</v>
      </c>
      <c r="B17">
        <v>0.15</v>
      </c>
    </row>
    <row r="18" spans="1:2" x14ac:dyDescent="0.25">
      <c r="A18">
        <v>26</v>
      </c>
      <c r="B18">
        <v>0</v>
      </c>
    </row>
    <row r="19" spans="1:2" x14ac:dyDescent="0.25">
      <c r="A19">
        <v>37</v>
      </c>
      <c r="B19">
        <v>0</v>
      </c>
    </row>
    <row r="20" spans="1:2" x14ac:dyDescent="0.25">
      <c r="A20">
        <v>32</v>
      </c>
      <c r="B20">
        <v>0.3</v>
      </c>
    </row>
    <row r="21" spans="1:2" x14ac:dyDescent="0.25">
      <c r="A21">
        <v>62</v>
      </c>
      <c r="B21">
        <v>0</v>
      </c>
    </row>
    <row r="22" spans="1:2" x14ac:dyDescent="0.25">
      <c r="A22">
        <v>31</v>
      </c>
      <c r="B22">
        <v>0.15</v>
      </c>
    </row>
    <row r="23" spans="1:2" x14ac:dyDescent="0.25">
      <c r="A23">
        <v>30</v>
      </c>
      <c r="B23">
        <v>0</v>
      </c>
    </row>
    <row r="24" spans="1:2" x14ac:dyDescent="0.25">
      <c r="A24">
        <v>35</v>
      </c>
      <c r="B24">
        <v>0</v>
      </c>
    </row>
  </sheetData>
  <mergeCells count="1">
    <mergeCell ref="A1:H1"/>
  </mergeCells>
  <pageMargins left="0.75" right="0.75" top="1" bottom="1" header="0.5" footer="0.5"/>
  <pageSetup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24"/>
  <sheetViews>
    <sheetView topLeftCell="C1" workbookViewId="0">
      <selection activeCell="E9" sqref="E9"/>
    </sheetView>
  </sheetViews>
  <sheetFormatPr defaultRowHeight="15" x14ac:dyDescent="0.25"/>
  <cols>
    <col min="1" max="1" width="8" customWidth="1"/>
    <col min="2" max="2" width="2" customWidth="1"/>
    <col min="3" max="3" width="14" customWidth="1"/>
    <col min="4" max="5" width="10" customWidth="1"/>
    <col min="6" max="7" width="14" customWidth="1"/>
    <col min="8" max="8" width="15.28515625" customWidth="1"/>
    <col min="9" max="10" width="16" customWidth="1"/>
    <col min="11" max="11" width="12" customWidth="1"/>
  </cols>
  <sheetData>
    <row r="1" spans="1:11" ht="21" x14ac:dyDescent="0.25">
      <c r="A1" s="9" t="s">
        <v>43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spans="1:11" x14ac:dyDescent="0.25">
      <c r="A3" s="1" t="s">
        <v>44</v>
      </c>
    </row>
    <row r="4" spans="1:11" x14ac:dyDescent="0.25">
      <c r="A4" s="8" t="s">
        <v>21</v>
      </c>
      <c r="C4" s="6" t="s">
        <v>22</v>
      </c>
      <c r="D4" s="6" t="s">
        <v>45</v>
      </c>
      <c r="E4" s="6" t="s">
        <v>24</v>
      </c>
      <c r="F4" s="6" t="s">
        <v>46</v>
      </c>
      <c r="G4" s="6" t="s">
        <v>47</v>
      </c>
      <c r="H4" s="6" t="s">
        <v>48</v>
      </c>
      <c r="I4" s="1" t="s">
        <v>49</v>
      </c>
    </row>
    <row r="5" spans="1:11" x14ac:dyDescent="0.25">
      <c r="A5">
        <v>28</v>
      </c>
      <c r="C5" t="s">
        <v>50</v>
      </c>
      <c r="D5">
        <v>26</v>
      </c>
      <c r="E5">
        <f>COUNTIFS($A:$A,"&gt;=22",$A:$A,"&lt;30")</f>
        <v>4</v>
      </c>
      <c r="F5">
        <f>E5*(D5-$J$6)^3</f>
        <v>-5324</v>
      </c>
      <c r="G5">
        <f>E5*(D5-$J$6)^4</f>
        <v>58564</v>
      </c>
      <c r="H5">
        <f>_xlfn.NORM.DIST(D5,$J$6,SQRT($J$7),FALSE)*$K$12*$J$5</f>
        <v>3.4502446040360861</v>
      </c>
      <c r="I5" s="7" t="s">
        <v>51</v>
      </c>
      <c r="J5">
        <f>SUM(E5:E9)</f>
        <v>20</v>
      </c>
    </row>
    <row r="6" spans="1:11" x14ac:dyDescent="0.25">
      <c r="A6">
        <v>44</v>
      </c>
      <c r="C6" t="s">
        <v>52</v>
      </c>
      <c r="D6">
        <v>34</v>
      </c>
      <c r="E6">
        <f>COUNTIFS($A:$A,"&gt;=30",$A:$A,"&lt;38")</f>
        <v>10</v>
      </c>
      <c r="F6">
        <f>E6*(D6-$J$6)^3</f>
        <v>-270</v>
      </c>
      <c r="G6">
        <f>E6*(D6-$J$6)^4</f>
        <v>810</v>
      </c>
      <c r="H6">
        <f>_xlfn.NORM.DIST(D6,$J$6,SQRT($J$7),FALSE)*$K$12*$J$5</f>
        <v>6.3240996680133783</v>
      </c>
      <c r="I6" s="7" t="s">
        <v>53</v>
      </c>
      <c r="J6">
        <f>SUMPRODUCT(D5:D9,E5:E9)/J5</f>
        <v>37</v>
      </c>
    </row>
    <row r="7" spans="1:11" x14ac:dyDescent="0.25">
      <c r="A7">
        <v>22</v>
      </c>
      <c r="C7" t="s">
        <v>54</v>
      </c>
      <c r="D7">
        <v>42</v>
      </c>
      <c r="E7">
        <f>COUNTIFS($A:$A,"&gt;=38",$A:$A,"&lt;46")</f>
        <v>2</v>
      </c>
      <c r="F7">
        <f>E7*(D7-$J$6)^3</f>
        <v>250</v>
      </c>
      <c r="G7">
        <f>E7*(D7-$J$6)^4</f>
        <v>1250</v>
      </c>
      <c r="H7">
        <f>_xlfn.NORM.DIST(D7,$J$6,SQRT($J$7),FALSE)*$K$12*$J$5</f>
        <v>5.7997065128467051</v>
      </c>
      <c r="I7" s="7" t="s">
        <v>55</v>
      </c>
      <c r="J7">
        <f>(SUMPRODUCT(E5:E9,D5:D9^2)-J5*J6^2)/(J5-1)</f>
        <v>92.421052631578945</v>
      </c>
    </row>
    <row r="8" spans="1:11" x14ac:dyDescent="0.25">
      <c r="A8">
        <v>31</v>
      </c>
      <c r="C8" t="s">
        <v>56</v>
      </c>
      <c r="D8">
        <v>50</v>
      </c>
      <c r="E8">
        <f>COUNTIFS($A:$A,"&gt;=46",$A:$A,"&lt;54")</f>
        <v>3</v>
      </c>
      <c r="F8">
        <f>E8*(D8-$J$6)^3</f>
        <v>6591</v>
      </c>
      <c r="G8">
        <f>E8*(D8-$J$6)^4</f>
        <v>85683</v>
      </c>
      <c r="H8">
        <f>_xlfn.NORM.DIST(D8,$J$6,SQRT($J$7),FALSE)*$K$12*$J$5</f>
        <v>2.6611651011746811</v>
      </c>
      <c r="I8" s="7"/>
    </row>
    <row r="9" spans="1:11" x14ac:dyDescent="0.25">
      <c r="A9">
        <v>34</v>
      </c>
      <c r="C9" t="s">
        <v>57</v>
      </c>
      <c r="D9">
        <v>62</v>
      </c>
      <c r="E9">
        <f>COUNTIFS($A:$A,"&gt;=54",$A:$A,"&lt;70")</f>
        <v>1</v>
      </c>
      <c r="F9">
        <f>E9*(D9-$J$6)^3</f>
        <v>15625</v>
      </c>
      <c r="G9">
        <f>E9*(D9-$J$6)^4</f>
        <v>390625</v>
      </c>
      <c r="H9">
        <f>_xlfn.NORM.DIST(D9,$J$6,SQRT($J$7),FALSE)*$K$12*$J$5</f>
        <v>0.22577725741315569</v>
      </c>
      <c r="I9" s="7" t="s">
        <v>58</v>
      </c>
      <c r="J9">
        <f>(SUM(F5:F9)/J5)/POWER($J$7,3/2)</f>
        <v>0.94946772209816399</v>
      </c>
    </row>
    <row r="10" spans="1:11" x14ac:dyDescent="0.25">
      <c r="A10">
        <v>48</v>
      </c>
      <c r="I10" s="7" t="s">
        <v>59</v>
      </c>
      <c r="J10">
        <f>(SUM(G5:G9)/J5)/POWER($J$7,2)-3</f>
        <v>0.14302236134100577</v>
      </c>
    </row>
    <row r="11" spans="1:11" x14ac:dyDescent="0.25">
      <c r="A11">
        <v>45</v>
      </c>
    </row>
    <row r="12" spans="1:11" x14ac:dyDescent="0.25">
      <c r="A12">
        <v>32</v>
      </c>
      <c r="J12" t="s">
        <v>60</v>
      </c>
      <c r="K12">
        <v>8</v>
      </c>
    </row>
    <row r="13" spans="1:11" x14ac:dyDescent="0.25">
      <c r="A13">
        <v>24</v>
      </c>
    </row>
    <row r="14" spans="1:11" x14ac:dyDescent="0.25">
      <c r="A14">
        <v>32</v>
      </c>
    </row>
    <row r="15" spans="1:11" x14ac:dyDescent="0.25">
      <c r="A15">
        <v>36</v>
      </c>
    </row>
    <row r="16" spans="1:11" x14ac:dyDescent="0.25">
      <c r="A16">
        <v>46</v>
      </c>
    </row>
    <row r="17" spans="1:1" x14ac:dyDescent="0.25">
      <c r="A17">
        <v>46</v>
      </c>
    </row>
    <row r="18" spans="1:1" x14ac:dyDescent="0.25">
      <c r="A18">
        <v>26</v>
      </c>
    </row>
    <row r="19" spans="1:1" x14ac:dyDescent="0.25">
      <c r="A19">
        <v>37</v>
      </c>
    </row>
    <row r="20" spans="1:1" x14ac:dyDescent="0.25">
      <c r="A20">
        <v>32</v>
      </c>
    </row>
    <row r="21" spans="1:1" x14ac:dyDescent="0.25">
      <c r="A21">
        <v>62</v>
      </c>
    </row>
    <row r="22" spans="1:1" x14ac:dyDescent="0.25">
      <c r="A22">
        <v>31</v>
      </c>
    </row>
    <row r="23" spans="1:1" x14ac:dyDescent="0.25">
      <c r="A23">
        <v>30</v>
      </c>
    </row>
    <row r="24" spans="1:1" x14ac:dyDescent="0.25">
      <c r="A24">
        <v>35</v>
      </c>
    </row>
  </sheetData>
  <mergeCells count="1">
    <mergeCell ref="A1:K1"/>
  </mergeCells>
  <pageMargins left="0.75" right="0.75" top="1" bottom="1" header="0.5" footer="0.5"/>
  <pageSetup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7"/>
  <sheetViews>
    <sheetView workbookViewId="0">
      <selection activeCell="J22" sqref="J22"/>
    </sheetView>
  </sheetViews>
  <sheetFormatPr defaultRowHeight="15" x14ac:dyDescent="0.25"/>
  <cols>
    <col min="1" max="1" width="10" customWidth="1"/>
    <col min="2" max="2" width="2" customWidth="1"/>
    <col min="3" max="3" width="22" customWidth="1"/>
    <col min="4" max="4" width="18" customWidth="1"/>
    <col min="5" max="5" width="2" customWidth="1"/>
    <col min="6" max="6" width="10" customWidth="1"/>
    <col min="7" max="8" width="12" customWidth="1"/>
  </cols>
  <sheetData>
    <row r="1" spans="1:8" ht="21" x14ac:dyDescent="0.25">
      <c r="A1" s="9" t="s">
        <v>61</v>
      </c>
      <c r="B1" s="10"/>
      <c r="C1" s="10"/>
      <c r="D1" s="10"/>
      <c r="E1" s="10"/>
      <c r="F1" s="10"/>
      <c r="G1" s="10"/>
      <c r="H1" s="10"/>
    </row>
    <row r="3" spans="1:8" x14ac:dyDescent="0.25">
      <c r="A3" s="1" t="s">
        <v>62</v>
      </c>
      <c r="C3" s="1" t="s">
        <v>63</v>
      </c>
    </row>
    <row r="4" spans="1:8" x14ac:dyDescent="0.25">
      <c r="A4" s="6" t="s">
        <v>21</v>
      </c>
      <c r="C4" s="7" t="s">
        <v>64</v>
      </c>
      <c r="D4">
        <f>MIN(A5:A21)</f>
        <v>22</v>
      </c>
      <c r="F4" s="6" t="s">
        <v>65</v>
      </c>
    </row>
    <row r="5" spans="1:8" x14ac:dyDescent="0.25">
      <c r="A5">
        <v>28</v>
      </c>
      <c r="C5" s="7" t="s">
        <v>66</v>
      </c>
      <c r="D5">
        <f>_xlfn.QUARTILE.INC(A5:A21,1)</f>
        <v>30</v>
      </c>
      <c r="F5" t="str">
        <f t="shared" ref="F5:F21" si="0">IF(OR(A5&lt;$D$11,A5&gt;$D$12),"Outlier","")</f>
        <v/>
      </c>
    </row>
    <row r="6" spans="1:8" x14ac:dyDescent="0.25">
      <c r="A6">
        <v>44</v>
      </c>
      <c r="C6" s="7" t="s">
        <v>67</v>
      </c>
      <c r="D6">
        <f>MEDIAN(A5:A21)</f>
        <v>32</v>
      </c>
      <c r="F6" t="str">
        <f t="shared" si="0"/>
        <v/>
      </c>
    </row>
    <row r="7" spans="1:8" x14ac:dyDescent="0.25">
      <c r="A7">
        <v>22</v>
      </c>
      <c r="C7" s="7" t="s">
        <v>68</v>
      </c>
      <c r="D7">
        <f>_xlfn.QUARTILE.INC(A5:A21,3)</f>
        <v>37</v>
      </c>
      <c r="F7" t="str">
        <f t="shared" si="0"/>
        <v/>
      </c>
    </row>
    <row r="8" spans="1:8" x14ac:dyDescent="0.25">
      <c r="A8">
        <v>31</v>
      </c>
      <c r="C8" s="7" t="s">
        <v>69</v>
      </c>
      <c r="D8">
        <f>MAX(A5:A21)</f>
        <v>62</v>
      </c>
      <c r="F8" t="str">
        <f t="shared" si="0"/>
        <v/>
      </c>
    </row>
    <row r="9" spans="1:8" x14ac:dyDescent="0.25">
      <c r="A9">
        <v>34</v>
      </c>
      <c r="C9" s="7"/>
      <c r="F9" t="str">
        <f t="shared" si="0"/>
        <v/>
      </c>
    </row>
    <row r="10" spans="1:8" x14ac:dyDescent="0.25">
      <c r="A10">
        <v>48</v>
      </c>
      <c r="C10" s="7" t="s">
        <v>70</v>
      </c>
      <c r="D10">
        <f>D7-D5</f>
        <v>7</v>
      </c>
      <c r="F10" t="str">
        <f t="shared" si="0"/>
        <v>Outlier</v>
      </c>
    </row>
    <row r="11" spans="1:8" x14ac:dyDescent="0.25">
      <c r="A11">
        <v>45</v>
      </c>
      <c r="C11" s="7" t="s">
        <v>71</v>
      </c>
      <c r="D11">
        <f>D5-1.5*D10</f>
        <v>19.5</v>
      </c>
      <c r="F11" t="str">
        <f t="shared" si="0"/>
        <v/>
      </c>
    </row>
    <row r="12" spans="1:8" x14ac:dyDescent="0.25">
      <c r="A12">
        <v>32</v>
      </c>
      <c r="C12" s="7" t="s">
        <v>72</v>
      </c>
      <c r="D12">
        <f>D7+1.5*D10</f>
        <v>47.5</v>
      </c>
      <c r="F12" t="str">
        <f t="shared" si="0"/>
        <v/>
      </c>
    </row>
    <row r="13" spans="1:8" x14ac:dyDescent="0.25">
      <c r="A13">
        <v>24</v>
      </c>
      <c r="F13" t="str">
        <f t="shared" si="0"/>
        <v/>
      </c>
    </row>
    <row r="14" spans="1:8" x14ac:dyDescent="0.25">
      <c r="A14">
        <v>32</v>
      </c>
      <c r="F14" t="str">
        <f t="shared" si="0"/>
        <v/>
      </c>
    </row>
    <row r="15" spans="1:8" x14ac:dyDescent="0.25">
      <c r="A15">
        <v>26</v>
      </c>
      <c r="F15" t="str">
        <f t="shared" si="0"/>
        <v/>
      </c>
    </row>
    <row r="16" spans="1:8" x14ac:dyDescent="0.25">
      <c r="A16">
        <v>37</v>
      </c>
      <c r="F16" t="str">
        <f t="shared" si="0"/>
        <v/>
      </c>
    </row>
    <row r="17" spans="1:6" x14ac:dyDescent="0.25">
      <c r="A17">
        <v>32</v>
      </c>
      <c r="F17" t="str">
        <f t="shared" si="0"/>
        <v/>
      </c>
    </row>
    <row r="18" spans="1:6" x14ac:dyDescent="0.25">
      <c r="A18">
        <v>62</v>
      </c>
      <c r="F18" t="str">
        <f t="shared" si="0"/>
        <v>Outlier</v>
      </c>
    </row>
    <row r="19" spans="1:6" x14ac:dyDescent="0.25">
      <c r="A19">
        <v>31</v>
      </c>
      <c r="F19" t="str">
        <f t="shared" si="0"/>
        <v/>
      </c>
    </row>
    <row r="20" spans="1:6" x14ac:dyDescent="0.25">
      <c r="A20">
        <v>30</v>
      </c>
      <c r="F20" t="str">
        <f t="shared" si="0"/>
        <v/>
      </c>
    </row>
    <row r="21" spans="1:6" x14ac:dyDescent="0.25">
      <c r="A21">
        <v>35</v>
      </c>
      <c r="F21" t="str">
        <f t="shared" si="0"/>
        <v/>
      </c>
    </row>
    <row r="25" spans="1:6" x14ac:dyDescent="0.25">
      <c r="C25" s="3"/>
    </row>
    <row r="26" spans="1:6" x14ac:dyDescent="0.25">
      <c r="C26" s="3"/>
    </row>
    <row r="27" spans="1:6" x14ac:dyDescent="0.25">
      <c r="C27" s="3"/>
    </row>
  </sheetData>
  <mergeCells count="1">
    <mergeCell ref="A1:H1"/>
  </mergeCells>
  <pageMargins left="0.75" right="0.75" top="1" bottom="1" header="0.5" footer="0.5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15"/>
  <sheetViews>
    <sheetView workbookViewId="0">
      <selection activeCell="H38" sqref="H38"/>
    </sheetView>
  </sheetViews>
  <sheetFormatPr defaultRowHeight="15" x14ac:dyDescent="0.25"/>
  <cols>
    <col min="1" max="1" width="16" customWidth="1"/>
    <col min="2" max="2" width="12" customWidth="1"/>
    <col min="3" max="3" width="3" customWidth="1"/>
    <col min="4" max="8" width="18" customWidth="1"/>
  </cols>
  <sheetData>
    <row r="1" spans="1:8" ht="21" x14ac:dyDescent="0.25">
      <c r="A1" s="9" t="s">
        <v>73</v>
      </c>
      <c r="B1" s="10"/>
      <c r="C1" s="10"/>
      <c r="D1" s="10"/>
      <c r="E1" s="10"/>
      <c r="F1" s="10"/>
      <c r="G1" s="10"/>
      <c r="H1" s="10"/>
    </row>
    <row r="3" spans="1:8" x14ac:dyDescent="0.25">
      <c r="A3" s="1" t="s">
        <v>74</v>
      </c>
    </row>
    <row r="4" spans="1:8" x14ac:dyDescent="0.25">
      <c r="A4" t="s">
        <v>75</v>
      </c>
      <c r="B4" t="s">
        <v>76</v>
      </c>
    </row>
    <row r="5" spans="1:8" x14ac:dyDescent="0.25">
      <c r="A5">
        <v>1</v>
      </c>
      <c r="B5">
        <v>55</v>
      </c>
    </row>
    <row r="6" spans="1:8" x14ac:dyDescent="0.25">
      <c r="A6">
        <v>2</v>
      </c>
      <c r="B6">
        <v>58</v>
      </c>
    </row>
    <row r="7" spans="1:8" x14ac:dyDescent="0.25">
      <c r="A7">
        <v>2.5</v>
      </c>
      <c r="B7">
        <v>62</v>
      </c>
    </row>
    <row r="8" spans="1:8" x14ac:dyDescent="0.25">
      <c r="A8">
        <v>3</v>
      </c>
      <c r="B8">
        <v>65</v>
      </c>
    </row>
    <row r="9" spans="1:8" x14ac:dyDescent="0.25">
      <c r="A9">
        <v>4</v>
      </c>
      <c r="B9">
        <v>70</v>
      </c>
    </row>
    <row r="10" spans="1:8" x14ac:dyDescent="0.25">
      <c r="A10">
        <v>5</v>
      </c>
      <c r="B10">
        <v>74</v>
      </c>
    </row>
    <row r="11" spans="1:8" x14ac:dyDescent="0.25">
      <c r="A11">
        <v>6</v>
      </c>
      <c r="B11">
        <v>78</v>
      </c>
    </row>
    <row r="12" spans="1:8" x14ac:dyDescent="0.25">
      <c r="A12">
        <v>7</v>
      </c>
      <c r="B12">
        <v>81</v>
      </c>
    </row>
    <row r="13" spans="1:8" x14ac:dyDescent="0.25">
      <c r="A13">
        <v>8</v>
      </c>
      <c r="B13">
        <v>85</v>
      </c>
    </row>
    <row r="14" spans="1:8" x14ac:dyDescent="0.25">
      <c r="A14">
        <v>9</v>
      </c>
      <c r="B14">
        <v>87</v>
      </c>
    </row>
    <row r="15" spans="1:8" x14ac:dyDescent="0.25">
      <c r="A15">
        <v>10</v>
      </c>
      <c r="B15">
        <v>90</v>
      </c>
    </row>
  </sheetData>
  <mergeCells count="1">
    <mergeCell ref="A1:H1"/>
  </mergeCells>
  <pageMargins left="0.75" right="0.75" top="1" bottom="1" header="0.5" footer="0.5"/>
  <pageSetup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BarChart_Discrete</vt:lpstr>
      <vt:lpstr>Histogram_Continuous</vt:lpstr>
      <vt:lpstr>Stem_and_Leaf</vt:lpstr>
      <vt:lpstr>Dotplot</vt:lpstr>
      <vt:lpstr>Skewness_Kurtosis</vt:lpstr>
      <vt:lpstr>Quantiles_Boxplot</vt:lpstr>
      <vt:lpstr>Scatterplot_Bivariate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Gomez</cp:lastModifiedBy>
  <dcterms:created xsi:type="dcterms:W3CDTF">2026-01-28T04:58:49Z</dcterms:created>
  <dcterms:modified xsi:type="dcterms:W3CDTF">2026-02-04T16:37:26Z</dcterms:modified>
</cp:coreProperties>
</file>